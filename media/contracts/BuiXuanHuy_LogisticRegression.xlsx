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HKT\Nam3\Ki2\DA\"/>
    </mc:Choice>
  </mc:AlternateContent>
  <xr:revisionPtr revIDLastSave="0" documentId="13_ncr:1_{8501A216-6A87-4038-AD73-E26A04470309}" xr6:coauthVersionLast="36" xr6:coauthVersionMax="36" xr10:uidLastSave="{00000000-0000-0000-0000-000000000000}"/>
  <bookViews>
    <workbookView xWindow="0" yWindow="0" windowWidth="28800" windowHeight="11115" xr2:uid="{2D6154D8-F9CE-466C-8867-E79AA3917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E4" i="1"/>
  <c r="F4" i="1" s="1"/>
  <c r="D4" i="1" s="1"/>
  <c r="E3" i="1"/>
  <c r="F3" i="1" s="1"/>
  <c r="D3" i="1" s="1"/>
  <c r="E5" i="1"/>
  <c r="F5" i="1" s="1"/>
  <c r="G5" i="1" s="1"/>
  <c r="E6" i="1"/>
  <c r="F6" i="1" s="1"/>
  <c r="E7" i="1"/>
  <c r="F7" i="1" s="1"/>
  <c r="E8" i="1"/>
  <c r="F8" i="1" s="1"/>
  <c r="E9" i="1"/>
  <c r="F9" i="1" s="1"/>
  <c r="G4" i="1" l="1"/>
  <c r="G3" i="1"/>
  <c r="D9" i="1"/>
  <c r="G9" i="1"/>
  <c r="D8" i="1"/>
  <c r="G8" i="1"/>
  <c r="D7" i="1"/>
  <c r="G7" i="1"/>
  <c r="D6" i="1"/>
  <c r="G6" i="1"/>
  <c r="C19" i="1" s="1"/>
  <c r="D5" i="1"/>
  <c r="C20" i="1" l="1"/>
  <c r="B20" i="1"/>
  <c r="B19" i="1"/>
  <c r="D11" i="1"/>
  <c r="F18" i="1" l="1"/>
  <c r="F19" i="1"/>
  <c r="F21" i="1" s="1"/>
</calcChain>
</file>

<file path=xl/sharedStrings.xml><?xml version="1.0" encoding="utf-8"?>
<sst xmlns="http://schemas.openxmlformats.org/spreadsheetml/2006/main" count="31" uniqueCount="22">
  <si>
    <t>LOGISTIC REGRESSION</t>
  </si>
  <si>
    <t>Results (y)</t>
  </si>
  <si>
    <t>Study hours (x)</t>
  </si>
  <si>
    <t>yi</t>
  </si>
  <si>
    <t>Loss</t>
  </si>
  <si>
    <t>z=w0+w1x</t>
  </si>
  <si>
    <t>y_hat_pro</t>
  </si>
  <si>
    <t>y_hat_predict</t>
  </si>
  <si>
    <t>fail</t>
  </si>
  <si>
    <t>pass</t>
  </si>
  <si>
    <t>z = w0 + w1x</t>
  </si>
  <si>
    <t>w0</t>
  </si>
  <si>
    <t>w1</t>
  </si>
  <si>
    <t>Total_loss</t>
  </si>
  <si>
    <t>CONFUSION MATRIX</t>
  </si>
  <si>
    <t>Predicted Classes</t>
  </si>
  <si>
    <t>Actual</t>
  </si>
  <si>
    <t>Metrics</t>
  </si>
  <si>
    <t>Accuracy = (TP+TN)/(TP + FP + FN + TN)</t>
  </si>
  <si>
    <t>Precision = TP/(TP + FP)</t>
  </si>
  <si>
    <t>Recall = TP/(TP + FN)</t>
  </si>
  <si>
    <t>F1 - Score = 2*(Precision*Recall)/(Presion + Recall)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</si>
</sst>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13"/>
      <color theme="1"/>
      <name val="Times New Roman"/>
      <family val="2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5" fontId="0" fillId="0" borderId="1" xfId="0" applyNumberFormat="1" applyBorder="1"/>
    <xf numFmtId="166" fontId="0" fillId="0" borderId="0" xfId="0" applyNumberFormat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C124-6C83-4ACE-9E5C-03D8F2167EB8}">
  <dimension ref="A1:J21"/>
  <sheetViews>
    <sheetView tabSelected="1" workbookViewId="0">
      <selection activeCell="H18" sqref="H18"/>
    </sheetView>
  </sheetViews>
  <sheetFormatPr defaultRowHeight="16.5" x14ac:dyDescent="0.25"/>
  <cols>
    <col min="1" max="1" width="13.44140625" bestFit="1" customWidth="1"/>
    <col min="2" max="2" width="9.77734375" bestFit="1" customWidth="1"/>
    <col min="5" max="5" width="42.5546875" bestFit="1" customWidth="1"/>
    <col min="6" max="6" width="11.6640625" customWidth="1"/>
    <col min="7" max="7" width="12.44140625" bestFit="1" customWidth="1"/>
  </cols>
  <sheetData>
    <row r="1" spans="1:10" ht="30" customHeight="1" x14ac:dyDescent="0.25">
      <c r="A1" s="2" t="s">
        <v>0</v>
      </c>
      <c r="B1" s="3"/>
      <c r="C1" s="3"/>
      <c r="D1" s="3"/>
      <c r="E1" s="3"/>
      <c r="F1" s="3"/>
      <c r="G1" s="3"/>
      <c r="I1" s="5" t="s">
        <v>10</v>
      </c>
      <c r="J1" s="4"/>
    </row>
    <row r="2" spans="1:10" x14ac:dyDescent="0.25">
      <c r="A2" s="10" t="s">
        <v>2</v>
      </c>
      <c r="B2" s="10" t="s">
        <v>1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I2" s="8" t="s">
        <v>11</v>
      </c>
      <c r="J2" s="8" t="s">
        <v>12</v>
      </c>
    </row>
    <row r="3" spans="1:10" x14ac:dyDescent="0.25">
      <c r="A3" s="6">
        <v>1</v>
      </c>
      <c r="B3" s="6" t="s">
        <v>8</v>
      </c>
      <c r="C3" s="6">
        <v>0</v>
      </c>
      <c r="D3" s="12">
        <f>-(C3*LN(F3)+(1-C3)*LN(1-F3))</f>
        <v>0.31326168751822281</v>
      </c>
      <c r="E3" s="7">
        <f>$I$3+$J$3*A3</f>
        <v>-1</v>
      </c>
      <c r="F3" s="6">
        <f>1/(1+EXP(-E3))</f>
        <v>0.2689414213699951</v>
      </c>
      <c r="G3" s="7" t="str">
        <f>IF(F3&gt;0.5, "pass","fail")</f>
        <v>fail</v>
      </c>
      <c r="I3" s="9">
        <v>-2</v>
      </c>
      <c r="J3" s="9">
        <v>1</v>
      </c>
    </row>
    <row r="4" spans="1:10" x14ac:dyDescent="0.25">
      <c r="A4" s="6">
        <v>2</v>
      </c>
      <c r="B4" s="6" t="s">
        <v>8</v>
      </c>
      <c r="C4" s="6">
        <v>0</v>
      </c>
      <c r="D4" s="12">
        <f t="shared" ref="D4:D9" si="0">-(C4*LN(F4)+(1-C4)*LN(1-F4))</f>
        <v>0.69314718055994529</v>
      </c>
      <c r="E4" s="7">
        <f>$I$3+$J$3*A4</f>
        <v>0</v>
      </c>
      <c r="F4" s="6">
        <f t="shared" ref="F4:F9" si="1">1/(1+EXP(-E4))</f>
        <v>0.5</v>
      </c>
      <c r="G4" s="7" t="str">
        <f>IF(F4&gt;=0.5, "pass","fail")</f>
        <v>pass</v>
      </c>
    </row>
    <row r="5" spans="1:10" x14ac:dyDescent="0.25">
      <c r="A5" s="6">
        <v>3</v>
      </c>
      <c r="B5" s="6" t="s">
        <v>8</v>
      </c>
      <c r="C5" s="6">
        <v>0</v>
      </c>
      <c r="D5" s="12">
        <f t="shared" si="0"/>
        <v>1.3132616875182228</v>
      </c>
      <c r="E5" s="7">
        <f t="shared" ref="E4:E9" si="2">$I$3+$J$3*A5</f>
        <v>1</v>
      </c>
      <c r="F5" s="6">
        <f t="shared" si="1"/>
        <v>0.7310585786300049</v>
      </c>
      <c r="G5" s="7" t="str">
        <f t="shared" ref="G4:G9" si="3">IF(F5&gt;0.5, "pass","fail")</f>
        <v>pass</v>
      </c>
    </row>
    <row r="6" spans="1:10" x14ac:dyDescent="0.25">
      <c r="A6" s="6">
        <v>4</v>
      </c>
      <c r="B6" s="6" t="s">
        <v>9</v>
      </c>
      <c r="C6" s="6">
        <v>1</v>
      </c>
      <c r="D6" s="12">
        <f t="shared" si="0"/>
        <v>0.12692801104297263</v>
      </c>
      <c r="E6" s="7">
        <f t="shared" si="2"/>
        <v>2</v>
      </c>
      <c r="F6" s="6">
        <f t="shared" si="1"/>
        <v>0.88079707797788231</v>
      </c>
      <c r="G6" s="7" t="str">
        <f t="shared" si="3"/>
        <v>pass</v>
      </c>
    </row>
    <row r="7" spans="1:10" x14ac:dyDescent="0.25">
      <c r="A7" s="6">
        <v>5</v>
      </c>
      <c r="B7" s="6" t="s">
        <v>9</v>
      </c>
      <c r="C7" s="6">
        <v>1</v>
      </c>
      <c r="D7" s="12">
        <f t="shared" si="0"/>
        <v>4.8587351573741909E-2</v>
      </c>
      <c r="E7" s="7">
        <f t="shared" si="2"/>
        <v>3</v>
      </c>
      <c r="F7" s="6">
        <f t="shared" si="1"/>
        <v>0.95257412682243336</v>
      </c>
      <c r="G7" s="7" t="str">
        <f t="shared" si="3"/>
        <v>pass</v>
      </c>
    </row>
    <row r="8" spans="1:10" x14ac:dyDescent="0.25">
      <c r="A8" s="6">
        <v>6</v>
      </c>
      <c r="B8" s="6" t="s">
        <v>9</v>
      </c>
      <c r="C8" s="6">
        <v>1</v>
      </c>
      <c r="D8" s="12">
        <f t="shared" si="0"/>
        <v>1.8149927917809731E-2</v>
      </c>
      <c r="E8" s="7">
        <f t="shared" si="2"/>
        <v>4</v>
      </c>
      <c r="F8" s="6">
        <f t="shared" si="1"/>
        <v>0.98201379003790845</v>
      </c>
      <c r="G8" s="7" t="str">
        <f t="shared" si="3"/>
        <v>pass</v>
      </c>
    </row>
    <row r="9" spans="1:10" x14ac:dyDescent="0.25">
      <c r="A9" s="6">
        <v>7</v>
      </c>
      <c r="B9" s="6" t="s">
        <v>9</v>
      </c>
      <c r="C9" s="6">
        <v>1</v>
      </c>
      <c r="D9" s="12">
        <f t="shared" si="0"/>
        <v>6.7153484891179444E-3</v>
      </c>
      <c r="E9" s="7">
        <f t="shared" si="2"/>
        <v>5</v>
      </c>
      <c r="F9" s="6">
        <f t="shared" si="1"/>
        <v>0.99330714907571527</v>
      </c>
      <c r="G9" s="7" t="str">
        <f t="shared" si="3"/>
        <v>pass</v>
      </c>
    </row>
    <row r="11" spans="1:10" x14ac:dyDescent="0.25">
      <c r="C11" t="s">
        <v>13</v>
      </c>
      <c r="D11" s="13">
        <f>AVERAGE(D3:D9)</f>
        <v>0.3600073135171476</v>
      </c>
    </row>
    <row r="16" spans="1:10" x14ac:dyDescent="0.25">
      <c r="A16" s="1" t="s">
        <v>14</v>
      </c>
      <c r="B16" s="1"/>
      <c r="C16" s="1"/>
    </row>
    <row r="17" spans="1:6" x14ac:dyDescent="0.25">
      <c r="B17" s="14" t="s">
        <v>15</v>
      </c>
      <c r="C17" s="14"/>
      <c r="E17" t="s">
        <v>17</v>
      </c>
    </row>
    <row r="18" spans="1:6" x14ac:dyDescent="0.25">
      <c r="A18" t="s">
        <v>16</v>
      </c>
      <c r="B18" s="15" t="s">
        <v>9</v>
      </c>
      <c r="C18" s="15" t="s">
        <v>8</v>
      </c>
      <c r="E18" t="s">
        <v>18</v>
      </c>
      <c r="F18" s="16">
        <f>(B19+C20)/SUM(B19:C20)</f>
        <v>0.7142857142857143</v>
      </c>
    </row>
    <row r="19" spans="1:6" x14ac:dyDescent="0.25">
      <c r="A19" s="15" t="s">
        <v>9</v>
      </c>
      <c r="B19" s="7">
        <f>COUNTIFS(B3:B9,"pass",G3:G9,"pass")</f>
        <v>4</v>
      </c>
      <c r="C19" s="6">
        <f>COUNTIFS(B3:B9,"pass",G3:G9,"fail")</f>
        <v>0</v>
      </c>
      <c r="E19" t="s">
        <v>19</v>
      </c>
      <c r="F19" s="16">
        <f>B19/(B19+C19)</f>
        <v>1</v>
      </c>
    </row>
    <row r="20" spans="1:6" x14ac:dyDescent="0.25">
      <c r="A20" s="15" t="s">
        <v>8</v>
      </c>
      <c r="B20" s="7">
        <f>COUNTIFS(B3:B9,"fail",G3:G9,"pass")</f>
        <v>2</v>
      </c>
      <c r="C20" s="6">
        <f>COUNTIFS(B3:B9,"fail",G3:G9,"fail")</f>
        <v>1</v>
      </c>
      <c r="E20" t="s">
        <v>20</v>
      </c>
      <c r="F20" s="16">
        <f>B19/(B19+B20)</f>
        <v>0.66666666666666663</v>
      </c>
    </row>
    <row r="21" spans="1:6" x14ac:dyDescent="0.25">
      <c r="E21" t="s">
        <v>21</v>
      </c>
      <c r="F21" s="16">
        <f>2*(F19*F20)/(F19+F20)</f>
        <v>0.8</v>
      </c>
    </row>
  </sheetData>
  <mergeCells count="4">
    <mergeCell ref="A1:G1"/>
    <mergeCell ref="I1:J1"/>
    <mergeCell ref="A16:C16"/>
    <mergeCell ref="B17:C17"/>
  </mergeCells>
  <pageMargins left="0.7" right="0.7" top="0.75" bottom="0.75" header="0.3" footer="0.3"/>
  <ignoredErrors>
    <ignoredError sqref="G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Xuan Huy</dc:creator>
  <cp:lastModifiedBy>Bui Xuan Huy</cp:lastModifiedBy>
  <dcterms:created xsi:type="dcterms:W3CDTF">2026-03-07T01:36:05Z</dcterms:created>
  <dcterms:modified xsi:type="dcterms:W3CDTF">2026-03-07T02:20:13Z</dcterms:modified>
</cp:coreProperties>
</file>